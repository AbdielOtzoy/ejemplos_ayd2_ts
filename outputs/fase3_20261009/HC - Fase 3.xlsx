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22aa3bc2934d4d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úbrica Fase 3" sheetId="1" ns1:id="R7c5a2ddcbcba478e"/>
  </sheets>
  <definedNames>
    <definedName name="_xlnm.Print_Area" localSheetId="0">'Rúbrica Fase 3'!$A$1:$E$104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0"/>
    <x:numFmt numFmtId="202" formatCode="dd/mm/yyyy"/>
    <x:numFmt numFmtId="203" formatCode="0%"/>
  </x:numFmts>
  <x:fonts count="10">
    <x:font>
      <x:sz val="11"/>
      <x:name val="Carlito"/>
    </x:font>
    <x:font>
      <x:sz val="11"/>
      <x:color rgb="FF000000"/>
      <x:name val="Calibri"/>
    </x:font>
    <x:font>
      <x:b/>
      <x:sz val="12"/>
      <x:color rgb="FF000000"/>
      <x:name val="Calibri"/>
    </x:font>
    <x:font>
      <x:sz val="10"/>
      <x:color rgb="FF000000"/>
      <x:name val="Calibri"/>
    </x:font>
    <x:font>
      <x:b/>
      <x:sz val="10"/>
      <x:color rgb="FF000000"/>
      <x:name val="Calibri"/>
    </x:font>
    <x:font>
      <x:b/>
      <x:sz val="12"/>
      <x:color rgb="FFFFFFFF"/>
      <x:name val="Arial"/>
    </x:font>
    <x:font>
      <x:i/>
      <x:sz val="11"/>
      <x:color rgb="FF555555"/>
      <x:name val="Calibri"/>
    </x:font>
    <x:font>
      <x:b/>
      <x:sz val="11"/>
      <x:color rgb="FF000000"/>
      <x:name val="Calibri"/>
    </x:font>
    <x:font>
      <x:b/>
      <x:sz val="11"/>
      <x:color rgb="FFFFFFFF"/>
      <x:name val="Calibri"/>
    </x:font>
    <x:font>
      <x:b/>
      <x:sz val="11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5558A"/>
      </x:patternFill>
    </x:fill>
    <x:fill>
      <x:patternFill patternType="solid">
        <x:fgColor rgb="FFEAF1F8"/>
      </x:patternFill>
    </x:fill>
    <x:fill>
      <x:patternFill patternType="solid">
        <x:fgColor rgb="FFFFF2CC"/>
      </x:patternFill>
    </x:fill>
    <x:fill>
      <x:patternFill patternType="solid">
        <x:fgColor rgb="FF2B5D96"/>
      </x:patternFill>
    </x:fill>
    <x:fill>
      <x:patternFill patternType="solid">
        <x:fgColor rgb="FFD6E3BC"/>
      </x:patternFill>
    </x:fill>
  </x:fills>
  <x:borders count="15">
    <x:border>
      <x:left/>
      <x:right/>
      <x:top/>
      <x:bottom/>
      <x:diagonal/>
    </x:border>
    <x:border>
      <x:left style="thin">
        <x:color rgb="FF7F7F7F"/>
      </x:left>
      <x:right/>
      <x:top style="thin">
        <x:color rgb="FF7F7F7F"/>
      </x:top>
      <x:bottom style="thin">
        <x:color rgb="FF7F7F7F"/>
      </x:bottom>
      <x:diagonal/>
    </x:border>
    <x:border>
      <x:left/>
      <x:right/>
      <x:top style="thin">
        <x:color rgb="FF7F7F7F"/>
      </x:top>
      <x:bottom style="thin">
        <x:color rgb="FF7F7F7F"/>
      </x:bottom>
      <x:diagonal/>
    </x:border>
    <x:border>
      <x:left/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/>
      <x:diagonal/>
    </x:border>
    <x:border>
      <x:left style="thin">
        <x:color rgb="FF7F7F7F"/>
      </x:left>
      <x:right style="thin">
        <x:color rgb="FF7F7F7F"/>
      </x:right>
      <x:top/>
      <x:bottom/>
      <x:diagonal/>
    </x:border>
    <x:border>
      <x:left style="thin">
        <x:color rgb="FF7F7F7F"/>
      </x:left>
      <x:right style="thin">
        <x:color rgb="FF7F7F7F"/>
      </x:right>
      <x:top/>
      <x:bottom style="thin">
        <x:color rgb="FF7F7F7F"/>
      </x:bottom>
      <x:diagonal/>
    </x:border>
    <x:border>
      <x:left style="thin">
        <x:color rgb="FF7F7F7F"/>
      </x:left>
      <x:right/>
      <x:top style="thin">
        <x:color rgb="FF7F7F7F"/>
      </x:top>
      <x:bottom/>
      <x:diagonal/>
    </x:border>
    <x:border>
      <x:left/>
      <x:right/>
      <x:top style="thin">
        <x:color rgb="FF7F7F7F"/>
      </x:top>
      <x:bottom/>
      <x:diagonal/>
    </x:border>
    <x:border>
      <x:left/>
      <x:right style="thin">
        <x:color rgb="FF7F7F7F"/>
      </x:right>
      <x:top style="thin">
        <x:color rgb="FF7F7F7F"/>
      </x:top>
      <x:bottom/>
      <x:diagonal/>
    </x:border>
    <x:border>
      <x:left style="thin">
        <x:color rgb="FF7F7F7F"/>
      </x:left>
      <x:right/>
      <x:top/>
      <x:bottom style="thin">
        <x:color rgb="FF7F7F7F"/>
      </x:bottom>
      <x:diagonal/>
    </x:border>
    <x:border>
      <x:left/>
      <x:right/>
      <x:top/>
      <x:bottom style="thin">
        <x:color rgb="FF7F7F7F"/>
      </x:bottom>
      <x:diagonal/>
    </x:border>
    <x:border>
      <x:left/>
      <x:right style="thin">
        <x:color rgb="FF7F7F7F"/>
      </x:right>
      <x:top/>
      <x:bottom style="thin">
        <x:color rgb="FF7F7F7F"/>
      </x:bottom>
      <x:diagonal/>
    </x:border>
  </x:borders>
  <x:cellStyleXfs count="1">
    <x:xf numFmtId="0" fontId="0" fillId="0" borderId="0"/>
  </x:cellStyleXfs>
  <x:cellXfs count="1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vertical="top" wrapText="1"/>
    </x:xf>
    <x:xf numFmtId="0" fontId="5" fillId="2" borderId="2" xfId="0" applyNumberFormat="1" applyFont="1" applyFill="1" applyBorder="1" applyAlignment="1">
      <x:alignment vertical="top" wrapText="1"/>
    </x:xf>
    <x:xf numFmtId="0" fontId="5" fillId="2" borderId="3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top" wrapText="1"/>
    </x:xf>
    <x:xf numFmtId="0" fontId="5" fillId="2" borderId="2" xfId="0" applyNumberFormat="1" applyFont="1" applyFill="1" applyBorder="1" applyAlignment="1">
      <x:alignment horizontal="center" vertical="top" wrapText="1"/>
    </x:xf>
    <x:xf numFmtId="0" fontId="5" fillId="2" borderId="3" xfId="0" applyNumberFormat="1" applyFont="1" applyFill="1" applyBorder="1" applyAlignment="1">
      <x:alignment horizontal="center" vertical="top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horizontal="left" vertical="top" wrapText="1"/>
    </x:xf>
    <x:xf numFmtId="0" fontId="6" fillId="0" borderId="0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 wrapText="1"/>
    </x:xf>
    <x:xf numFmtId="0" fontId="7" fillId="3" borderId="4" xfId="0" applyNumberFormat="1" applyFont="1" applyFill="1" applyBorder="1" applyAlignment="1">
      <x:alignment vertical="top" wrapText="1"/>
    </x:xf>
    <x:xf numFmtId="0" fontId="7" fillId="3" borderId="4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vertical="top" wrapText="1"/>
    </x:xf>
    <x:xf numFmtId="0" fontId="1" fillId="4" borderId="4" xfId="0" applyNumberFormat="1" applyFont="1" applyFill="1" applyBorder="1" applyAlignment="1">
      <x:alignment vertical="center" wrapText="1"/>
    </x:xf>
    <x:xf numFmtId="202" fontId="1" fillId="4" borderId="4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8" fillId="5" borderId="4" xfId="0" applyNumberFormat="1" applyFont="1" applyFill="1" applyBorder="1" applyAlignment="1">
      <x:alignment vertical="top" wrapText="1"/>
    </x:xf>
    <x:xf numFmtId="0" fontId="8" fillId="5" borderId="4" xfId="0" applyNumberFormat="1" applyFont="1" applyFill="1" applyBorder="1" applyAlignment="1">
      <x:alignment horizontal="center" vertical="top" wrapText="1"/>
    </x:xf>
    <x:xf numFmtId="0" fontId="8" fillId="5" borderId="4" xfId="0" applyNumberFormat="1" applyFont="1" applyFill="1" applyBorder="1" applyAlignment="1">
      <x:alignment horizontal="center" vertical="center" wrapText="1"/>
    </x:xf>
    <x:xf numFmtId="203" fontId="1" fillId="0" borderId="4" xfId="0" applyNumberFormat="1" applyFont="1" applyFill="1" applyBorder="1" applyAlignment="1">
      <x:alignment vertical="top" wrapText="1"/>
    </x:xf>
    <x:xf numFmtId="203" fontId="1" fillId="0" borderId="4" xfId="0" applyNumberFormat="1" applyFont="1" applyFill="1" applyBorder="1" applyAlignment="1">
      <x:alignment horizontal="center" vertical="top" wrapText="1"/>
    </x:xf>
    <x:xf numFmtId="203" fontId="1" fillId="0" borderId="4" xfId="0" applyNumberFormat="1" applyFont="1" applyFill="1" applyBorder="1" applyAlignment="1">
      <x:alignment horizontal="center" vertical="center" wrapText="1"/>
    </x:xf>
    <x:xf numFmtId="200" fontId="1" fillId="0" borderId="4" xfId="0" applyNumberFormat="1" applyFont="1" applyFill="1" applyBorder="1" applyAlignment="1">
      <x:alignment vertical="top" wrapText="1"/>
    </x:xf>
    <x:xf numFmtId="201" fontId="1" fillId="0" borderId="4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horizontal="left" vertical="top" wrapText="1"/>
    </x:xf>
    <x:xf numFmtId="200" fontId="1" fillId="0" borderId="4" xfId="0" applyNumberFormat="1" applyFont="1" applyFill="1" applyBorder="1" applyAlignment="1">
      <x:alignment horizontal="center" vertical="top" wrapText="1"/>
    </x:xf>
    <x:xf numFmtId="201" fontId="1" fillId="4" borderId="4" xfId="0" applyNumberFormat="1" applyFont="1" applyFill="1" applyBorder="1" applyAlignment="1">
      <x:alignment vertical="top" wrapText="1"/>
    </x:xf>
    <x:xf numFmtId="201" fontId="1" fillId="4" borderId="4" xfId="0" applyNumberFormat="1" applyFont="1" applyFill="1" applyBorder="1" applyAlignment="1">
      <x:alignment horizontal="center" vertical="top" wrapText="1"/>
    </x:xf>
    <x:xf numFmtId="201" fontId="1" fillId="4" borderId="4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top" wrapText="1"/>
    </x:xf>
    <x:xf numFmtId="201" fontId="1" fillId="2" borderId="0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vertical="top" wrapText="1"/>
    </x:xf>
    <x:xf numFmtId="200" fontId="9" fillId="2" borderId="0" xfId="0" applyNumberFormat="1" applyFont="1" applyFill="1" applyBorder="1" applyAlignment="1">
      <x:alignment vertical="top" wrapText="1"/>
    </x:xf>
    <x:xf numFmtId="201" fontId="9" fillId="2" borderId="0" xfId="0" applyNumberFormat="1" applyFont="1" applyFill="1" applyBorder="1" applyAlignment="1">
      <x:alignment vertical="top" wrapText="1"/>
    </x:xf>
    <x:xf numFmtId="0" fontId="9" fillId="2" borderId="5" xfId="0" applyNumberFormat="1" applyFont="1" applyFill="1" applyBorder="1" applyAlignment="1">
      <x:alignment vertical="top" wrapText="1"/>
    </x:xf>
    <x:xf numFmtId="200" fontId="9" fillId="2" borderId="5" xfId="0" applyNumberFormat="1" applyFont="1" applyFill="1" applyBorder="1" applyAlignment="1">
      <x:alignment vertical="top" wrapText="1"/>
    </x:xf>
    <x:xf numFmtId="201" fontId="9" fillId="2" borderId="5" xfId="0" applyNumberFormat="1" applyFont="1" applyFill="1" applyBorder="1" applyAlignment="1">
      <x:alignment vertical="top" wrapText="1"/>
    </x:xf>
    <x:xf numFmtId="0" fontId="9" fillId="2" borderId="5" xfId="0" applyNumberFormat="1" applyFont="1" applyFill="1" applyBorder="1" applyAlignment="1">
      <x:alignment horizontal="center" vertical="top" wrapText="1"/>
    </x:xf>
    <x:xf numFmtId="200" fontId="9" fillId="2" borderId="5" xfId="0" applyNumberFormat="1" applyFont="1" applyFill="1" applyBorder="1" applyAlignment="1">
      <x:alignment horizontal="center" vertical="top" wrapText="1"/>
    </x:xf>
    <x:xf numFmtId="201" fontId="9" fillId="2" borderId="5" xfId="0" applyNumberFormat="1" applyFont="1" applyFill="1" applyBorder="1" applyAlignment="1">
      <x:alignment horizontal="center" vertical="top" wrapText="1"/>
    </x:xf>
    <x:xf numFmtId="0" fontId="9" fillId="2" borderId="5" xfId="0" applyNumberFormat="1" applyFont="1" applyFill="1" applyBorder="1" applyAlignment="1">
      <x:alignment horizontal="center" vertical="center" wrapText="1"/>
    </x:xf>
    <x:xf numFmtId="200" fontId="9" fillId="2" borderId="5" xfId="0" applyNumberFormat="1" applyFont="1" applyFill="1" applyBorder="1" applyAlignment="1">
      <x:alignment horizontal="center" vertical="center" wrapText="1"/>
    </x:xf>
    <x:xf numFmtId="201" fontId="9" fillId="2" borderId="5" xfId="0" applyNumberFormat="1" applyFont="1" applyFill="1" applyBorder="1" applyAlignment="1">
      <x:alignment horizontal="center" vertical="center" wrapText="1"/>
    </x:xf>
    <x:xf numFmtId="0" fontId="9" fillId="2" borderId="5" xfId="0" applyNumberFormat="1" applyFont="1" applyFill="1" applyBorder="1" applyAlignment="1">
      <x:alignment horizontal="left" vertical="center" wrapText="1"/>
    </x:xf>
    <x:xf numFmtId="200" fontId="6" fillId="0" borderId="0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horizontal="left" vertical="top" wrapText="1"/>
    </x:xf>
    <x:xf numFmtId="201" fontId="6" fillId="0" borderId="0" xfId="0" applyNumberFormat="1" applyFont="1" applyFill="1" applyBorder="1" applyAlignment="1">
      <x:alignment horizontal="left" vertical="top" wrapText="1"/>
    </x:xf>
    <x:xf numFmtId="200" fontId="6" fillId="0" borderId="0" xfId="0" applyNumberFormat="1" applyFont="1" applyFill="1" applyBorder="1" applyAlignment="1">
      <x:alignment horizontal="left" vertical="center" wrapText="1"/>
    </x:xf>
    <x:xf numFmtId="201" fontId="6" fillId="0" borderId="0" xfId="0" applyNumberFormat="1" applyFont="1" applyFill="1" applyBorder="1" applyAlignment="1">
      <x:alignment horizontal="left" vertical="center" wrapText="1"/>
    </x:xf>
    <x:xf numFmtId="0" fontId="8" fillId="2" borderId="0" xfId="0" applyNumberFormat="1" applyFont="1" applyFill="1" applyBorder="1" applyAlignment="1">
      <x:alignment vertical="top" wrapText="1"/>
    </x:xf>
    <x:xf numFmtId="200" fontId="8" fillId="2" borderId="0" xfId="0" applyNumberFormat="1" applyFont="1" applyFill="1" applyBorder="1" applyAlignment="1">
      <x:alignment vertical="top" wrapText="1"/>
    </x:xf>
    <x:xf numFmtId="201" fontId="8" fillId="2" borderId="0" xfId="0" applyNumberFormat="1" applyFont="1" applyFill="1" applyBorder="1" applyAlignment="1">
      <x:alignment vertical="top" wrapText="1"/>
    </x:xf>
    <x:xf numFmtId="0" fontId="8" fillId="2" borderId="4" xfId="0" applyNumberFormat="1" applyFont="1" applyFill="1" applyBorder="1" applyAlignment="1">
      <x:alignment vertical="top" wrapText="1"/>
    </x:xf>
    <x:xf numFmtId="200" fontId="8" fillId="2" borderId="4" xfId="0" applyNumberFormat="1" applyFont="1" applyFill="1" applyBorder="1" applyAlignment="1">
      <x:alignment vertical="top" wrapText="1"/>
    </x:xf>
    <x:xf numFmtId="201" fontId="8" fillId="2" borderId="4" xfId="0" applyNumberFormat="1" applyFont="1" applyFill="1" applyBorder="1" applyAlignment="1">
      <x:alignment vertical="top" wrapText="1"/>
    </x:xf>
    <x:xf numFmtId="0" fontId="8" fillId="2" borderId="4" xfId="0" applyNumberFormat="1" applyFont="1" applyFill="1" applyBorder="1" applyAlignment="1">
      <x:alignment horizontal="center" vertical="top" wrapText="1"/>
    </x:xf>
    <x:xf numFmtId="200" fontId="8" fillId="2" borderId="4" xfId="0" applyNumberFormat="1" applyFont="1" applyFill="1" applyBorder="1" applyAlignment="1">
      <x:alignment horizontal="center" vertical="top" wrapText="1"/>
    </x:xf>
    <x:xf numFmtId="201" fontId="8" fillId="2" borderId="4" xfId="0" applyNumberFormat="1" applyFont="1" applyFill="1" applyBorder="1" applyAlignment="1">
      <x:alignment horizontal="center" vertical="top" wrapText="1"/>
    </x:xf>
    <x:xf numFmtId="0" fontId="8" fillId="2" borderId="4" xfId="0" applyNumberFormat="1" applyFont="1" applyFill="1" applyBorder="1" applyAlignment="1">
      <x:alignment horizontal="center" vertical="center" wrapText="1"/>
    </x:xf>
    <x:xf numFmtId="200" fontId="8" fillId="2" borderId="4" xfId="0" applyNumberFormat="1" applyFont="1" applyFill="1" applyBorder="1" applyAlignment="1">
      <x:alignment horizontal="center" vertical="center" wrapText="1"/>
    </x:xf>
    <x:xf numFmtId="201" fontId="8" fillId="2" borderId="4" xfId="0" applyNumberFormat="1" applyFont="1" applyFill="1" applyBorder="1" applyAlignment="1">
      <x:alignment horizontal="center" vertical="center" wrapText="1"/>
    </x:xf>
    <x:xf numFmtId="201" fontId="5" fillId="2" borderId="0" xfId="0" applyNumberFormat="1" applyFont="1" applyFill="1" applyBorder="1" applyAlignment="1">
      <x:alignment vertical="top" wrapText="1"/>
    </x:xf>
    <x:xf numFmtId="201" fontId="5" fillId="2" borderId="3" xfId="0" applyNumberFormat="1" applyFont="1" applyFill="1" applyBorder="1" applyAlignment="1">
      <x:alignment vertical="top" wrapText="1"/>
    </x:xf>
    <x:xf numFmtId="201" fontId="5" fillId="2" borderId="3" xfId="0" applyNumberFormat="1" applyFont="1" applyFill="1" applyBorder="1" applyAlignment="1">
      <x:alignment horizontal="center" vertical="top" wrapText="1"/>
    </x:xf>
    <x:xf numFmtId="201" fontId="5" fillId="2" borderId="3" xfId="0" applyNumberFormat="1" applyFont="1" applyFill="1" applyBorder="1" applyAlignment="1">
      <x:alignment horizontal="center" vertical="center" wrapText="1"/>
    </x:xf>
    <x:xf numFmtId="201" fontId="1" fillId="5" borderId="0" xfId="0" applyNumberFormat="1" applyFont="1" applyFill="1" applyBorder="1" applyAlignment="1">
      <x:alignment vertical="top" wrapText="1"/>
    </x:xf>
    <x:xf numFmtId="201" fontId="8" fillId="5" borderId="0" xfId="0" applyNumberFormat="1" applyFont="1" applyFill="1" applyBorder="1" applyAlignment="1">
      <x:alignment vertical="top" wrapText="1"/>
    </x:xf>
    <x:xf numFmtId="201" fontId="8" fillId="5" borderId="4" xfId="0" applyNumberFormat="1" applyFont="1" applyFill="1" applyBorder="1" applyAlignment="1">
      <x:alignment vertical="top" wrapText="1"/>
    </x:xf>
    <x:xf numFmtId="201" fontId="8" fillId="5" borderId="4" xfId="0" applyNumberFormat="1" applyFont="1" applyFill="1" applyBorder="1" applyAlignment="1">
      <x:alignment horizontal="center" vertical="top" wrapText="1"/>
    </x:xf>
    <x:xf numFmtId="201" fontId="8" fillId="5" borderId="4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6" xfId="0" applyNumberFormat="1" applyFont="1" applyFill="1" applyBorder="1" applyAlignment="1">
      <x:alignment vertical="top" wrapText="1"/>
    </x:xf>
    <x:xf numFmtId="0" fontId="1" fillId="4" borderId="7" xfId="0" applyNumberFormat="1" applyFont="1" applyFill="1" applyBorder="1" applyAlignment="1">
      <x:alignment vertical="top" wrapText="1"/>
    </x:xf>
    <x:xf numFmtId="0" fontId="1" fillId="4" borderId="8" xfId="0" applyNumberFormat="1" applyFont="1" applyFill="1" applyBorder="1" applyAlignment="1">
      <x:alignment vertical="top" wrapText="1"/>
    </x:xf>
    <x:xf numFmtId="0" fontId="1" fillId="4" borderId="6" xfId="0" applyNumberFormat="1" applyFont="1" applyFill="1" applyBorder="1" applyAlignment="1">
      <x:alignment vertical="center" wrapText="1"/>
    </x:xf>
    <x:xf numFmtId="0" fontId="1" fillId="4" borderId="7" xfId="0" applyNumberFormat="1" applyFont="1" applyFill="1" applyBorder="1" applyAlignment="1">
      <x:alignment vertical="center" wrapText="1"/>
    </x:xf>
    <x:xf numFmtId="0" fontId="1" fillId="4" borderId="8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201" fontId="1" fillId="0" borderId="4" xfId="0" applyNumberFormat="1" applyFont="1" applyFill="1" applyBorder="1" applyAlignment="1">
      <x:alignment horizontal="center" vertical="top" wrapText="1"/>
    </x:xf>
    <x:xf numFmtId="201" fontId="1" fillId="0" borderId="4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201" fontId="7" fillId="0" borderId="0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  <x:xf numFmtId="201" fontId="7" fillId="0" borderId="4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center" wrapText="1"/>
    </x:xf>
    <x:xf numFmtId="201" fontId="7" fillId="0" borderId="4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horizontal="center" vertical="center" wrapText="1"/>
    </x:xf>
    <x:xf numFmtId="201" fontId="7" fillId="0" borderId="4" xfId="0" applyNumberFormat="1" applyFont="1" applyFill="1" applyBorder="1" applyAlignment="1">
      <x:alignment horizontal="center" vertical="center" wrapText="1"/>
    </x:xf>
    <x:xf numFmtId="201" fontId="7" fillId="6" borderId="4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vertical="top" wrapText="1"/>
    </x:xf>
    <x:xf numFmtId="201" fontId="1" fillId="2" borderId="4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201" fontId="1" fillId="3" borderId="4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201" fontId="7" fillId="3" borderId="4" xfId="0" applyNumberFormat="1" applyFont="1" applyFill="1" applyBorder="1" applyAlignment="1">
      <x:alignment horizontal="center" vertical="center" wrapText="1"/>
    </x:xf>
    <x:xf numFmtId="0" fontId="7" fillId="3" borderId="4" xfId="0" applyNumberFormat="1" applyFont="1" applyFill="1" applyBorder="1" applyAlignment="1">
      <x:alignment horizontal="center" vertical="center" wrapText="1"/>
    </x:xf>
    <x:xf numFmtId="0" fontId="1" fillId="4" borderId="9" xfId="0" applyNumberFormat="1" applyFont="1" applyFill="1" applyBorder="1" applyAlignment="1">
      <x:alignment vertical="top" wrapText="1"/>
    </x:xf>
    <x:xf numFmtId="0" fontId="1" fillId="4" borderId="10" xfId="0" applyNumberFormat="1" applyFont="1" applyFill="1" applyBorder="1" applyAlignment="1">
      <x:alignment vertical="top" wrapText="1"/>
    </x:xf>
    <x:xf numFmtId="0" fontId="1" fillId="4" borderId="11" xfId="0" applyNumberFormat="1" applyFont="1" applyFill="1" applyBorder="1" applyAlignment="1">
      <x:alignment vertical="top" wrapText="1"/>
    </x:xf>
    <x:xf numFmtId="0" fontId="1" fillId="4" borderId="12" xfId="0" applyNumberFormat="1" applyFont="1" applyFill="1" applyBorder="1" applyAlignment="1">
      <x:alignment vertical="top" wrapText="1"/>
    </x:xf>
    <x:xf numFmtId="0" fontId="1" fillId="4" borderId="13" xfId="0" applyNumberFormat="1" applyFont="1" applyFill="1" applyBorder="1" applyAlignment="1">
      <x:alignment vertical="top" wrapText="1"/>
    </x:xf>
    <x:xf numFmtId="0" fontId="1" fillId="4" borderId="1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805dbe45bf4302" /><Relationship Type="http://schemas.openxmlformats.org/officeDocument/2006/relationships/theme" Target="/xl/theme/theme1.xml" Id="R9caec545c5094411" /><Relationship Type="http://schemas.openxmlformats.org/officeDocument/2006/relationships/sharedStrings" Target="/xl/sharedStrings.xml" Id="Rd2c738f860484108" /><Relationship Type="http://schemas.openxmlformats.org/officeDocument/2006/relationships/worksheet" Target="/xl/worksheets/sheet1.xml" Id="R7c5a2ddcbcba47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pageSetUpPr fitToPage="1"/>
  </sheetPr>
  <sheetViews>
    <sheetView showGridLines="1" workbookViewId="0"/>
  </sheetViews>
  <sheetFormatPr defaultRowHeight="15"/>
  <cols>
    <col min="1" max="1" width="53.290000915527344" hidden="0" customWidth="1"/>
    <col min="2" max="2" width="14" hidden="0" customWidth="1"/>
    <col min="3" max="3" width="76.70999908447266" hidden="0" customWidth="1"/>
    <col min="4" max="4" width="12" hidden="0" customWidth="1"/>
    <col min="5" max="5" width="14" hidden="0" customWidth="1"/>
  </cols>
  <sheetData>
    <row r="1" ht="18" customHeight="1">
      <c r="A1" s="8" t="str">
        <v>Universidad San Carlos de Guatemala</v>
      </c>
      <c r="B1" s="8"/>
      <c r="C1" s="8"/>
      <c r="D1" s="8"/>
      <c r="E1" s="8"/>
    </row>
    <row r="2" ht="18" customHeight="1">
      <c r="A2" s="11" t="str">
        <v>Facultad de Ingeniería</v>
      </c>
      <c r="B2" s="11"/>
      <c r="C2" s="11"/>
      <c r="D2" s="11"/>
      <c r="E2" s="11"/>
    </row>
    <row r="3" ht="18" customHeight="1">
      <c r="A3" s="11" t="str">
        <v>Escuela de Ciencias y Sistemas</v>
      </c>
      <c r="B3" s="11"/>
      <c r="C3" s="11"/>
      <c r="D3" s="11"/>
      <c r="E3" s="11"/>
    </row>
    <row r="4" ht="18" customHeight="1">
      <c r="A4" s="14" t="str">
        <v>Análisis y Diseño de Sistemas 2</v>
      </c>
      <c r="B4" s="14"/>
      <c r="C4" s="14"/>
      <c r="D4" s="14"/>
      <c r="E4" s="14"/>
    </row>
    <row r="5" ht="18" customHeight="1">
      <c r="A5" s="11" t="str">
        <v>Segundo Semestre, 2026</v>
      </c>
      <c r="B5" s="11"/>
      <c r="C5" s="11"/>
      <c r="D5" s="11"/>
      <c r="E5" s="11"/>
    </row>
    <row r="6" ht="16" customHeight="1">
      <c r="A6" s="3"/>
      <c r="B6" s="3"/>
      <c r="C6" s="3"/>
      <c r="D6" s="3"/>
      <c r="E6" s="3"/>
    </row>
    <row r="7" ht="28" customHeight="1">
      <c r="A7" s="23" t="str">
        <v>Calificación Proyecto Fase 3 | SGO-Logic</v>
      </c>
      <c r="B7" s="24"/>
      <c r="C7" s="24"/>
      <c r="D7" s="24"/>
      <c r="E7" s="25"/>
    </row>
    <row r="8" ht="22" customHeight="1">
      <c r="A8" s="29" t="str">
        <v>Rúbrica sobre 100 puntos: 80 puntos de evaluación base + 20 puntos de desempeño individual.</v>
      </c>
      <c r="B8" s="29"/>
      <c r="C8" s="29"/>
      <c r="D8" s="29"/>
      <c r="E8" s="29"/>
    </row>
    <row r="9" ht="28" customHeight="1">
      <c r="A9" s="23" t="str">
        <v>DATOS DEL EQUIPO</v>
      </c>
      <c r="B9" s="24"/>
      <c r="C9" s="24"/>
      <c r="D9" s="24"/>
      <c r="E9" s="25"/>
    </row>
    <row r="10" ht="22" customHeight="1">
      <c r="A10" s="33" t="str">
        <v>Grupo No.</v>
      </c>
      <c r="B10" s="35"/>
      <c r="C10" s="35"/>
      <c r="D10" s="35"/>
      <c r="E10" s="35"/>
    </row>
    <row r="11" ht="42" customHeight="1">
      <c r="A11" s="33" t="str">
        <v>Integrantes</v>
      </c>
      <c r="B11" s="35"/>
      <c r="C11" s="35"/>
      <c r="D11" s="35"/>
      <c r="E11" s="35"/>
    </row>
    <row r="12" ht="22" customHeight="1">
      <c r="A12" s="33" t="str">
        <v>Fecha de evaluación</v>
      </c>
      <c r="B12" s="36" t="d">
        <v>2026-10-17T00:00:00.000Z</v>
      </c>
      <c r="C12" s="35"/>
      <c r="D12" s="35"/>
      <c r="E12" s="35"/>
    </row>
    <row r="13" ht="22" customHeight="1">
      <c r="A13" s="33" t="str">
        <v>Modalidad</v>
      </c>
      <c r="B13" s="35" t="str">
        <v>Presencial</v>
      </c>
      <c r="C13" s="35"/>
      <c r="D13" s="35"/>
      <c r="E13" s="35"/>
    </row>
    <row r="14" ht="16" customHeight="1">
      <c r="A14" s="3"/>
      <c r="B14" s="3"/>
      <c r="C14" s="3"/>
      <c r="D14" s="3"/>
      <c r="E14" s="3"/>
    </row>
    <row r="15" ht="28" customHeight="1">
      <c r="A15" s="23" t="str">
        <v>TABLA DE CONDICIONES POR OMISIÓN DE TRAZABILIDAD (FEEDBACK)</v>
      </c>
      <c r="B15" s="24"/>
      <c r="C15" s="24"/>
      <c r="D15" s="24"/>
      <c r="E15" s="25"/>
    </row>
    <row r="16" ht="30" customHeight="1">
      <c r="A16" s="41" t="str">
        <v>Sección</v>
      </c>
      <c r="B16" s="41" t="str">
        <v>Factor</v>
      </c>
      <c r="C16" s="41" t="str">
        <v>Criterio de Validación de Trazabilidad Arquitectónica</v>
      </c>
      <c r="D16" s="41"/>
      <c r="E16" s="41"/>
    </row>
    <row r="17" ht="36" customHeight="1">
      <c r="A17" s="30" t="str">
        <v>Cumplimiento completo</v>
      </c>
      <c r="B17" s="44" t="n">
        <v>1</v>
      </c>
      <c r="C17" s="30" t="str">
        <v>El driver implementado está en el CDU expandido derivado del CUN, modelo de datos y diagrama de despliegue.</v>
      </c>
      <c r="D17" s="30"/>
      <c r="E17" s="30"/>
    </row>
    <row r="18" ht="36" customHeight="1">
      <c r="A18" s="30" t="str">
        <v>Falta un artefacto</v>
      </c>
      <c r="B18" s="44" t="n">
        <v>0.75</v>
      </c>
      <c r="C18" s="30" t="str">
        <v>La funcionalidad opera, pero falta su representación en uno de los tres artefactos: CDU expandido, modelo de datos o despliegue.</v>
      </c>
      <c r="D18" s="30"/>
      <c r="E18" s="30"/>
    </row>
    <row r="19" ht="36" customHeight="1">
      <c r="A19" s="30" t="str">
        <v>Falta de trazabilidad media</v>
      </c>
      <c r="B19" s="44" t="n">
        <v>0.5</v>
      </c>
      <c r="C19" s="30" t="str">
        <v>La funcionalidad opera, pero falta su representación en dos de los tres artefactos de trazabilidad.</v>
      </c>
      <c r="D19" s="30"/>
      <c r="E19" s="30"/>
    </row>
    <row r="20" ht="36" customHeight="1">
      <c r="A20" s="30" t="str">
        <v>Código huérfano</v>
      </c>
      <c r="B20" s="44" t="n">
        <v>0.25</v>
      </c>
      <c r="C20" s="30" t="str">
        <v>La funcionalidad está codificada, pero no tiene sustento en los artefactos de trazabilidad arquitectónica.</v>
      </c>
      <c r="D20" s="30"/>
      <c r="E20" s="30"/>
    </row>
    <row r="21" ht="36" customHeight="1">
      <c r="A21" s="30" t="str">
        <v>No cumple / no implementado</v>
      </c>
      <c r="B21" s="44" t="n">
        <v>0</v>
      </c>
      <c r="C21" s="30" t="str">
        <v>La funcionalidad no fue desarrollada o presenta fallas críticas de negocio.</v>
      </c>
      <c r="D21" s="30"/>
      <c r="E21" s="30"/>
    </row>
    <row r="22" ht="32" customHeight="1">
      <c r="A22" s="28" t="str">
        <v>Sección I: punteo = puntos del criterio × factor de trazabilidad. Las demás secciones se califican según su evidencia específica.</v>
      </c>
      <c r="B22" s="28"/>
      <c r="C22" s="28"/>
      <c r="D22" s="28"/>
      <c r="E22" s="28"/>
    </row>
    <row r="23" ht="28" customHeight="1">
      <c r="A23" s="23" t="str">
        <v>ESTRUCTURA DE CALIFICACIÓN BASE (PROYECTO FASE 3)</v>
      </c>
      <c r="B23" s="24"/>
      <c r="C23" s="24"/>
      <c r="D23" s="24"/>
      <c r="E23" s="25"/>
    </row>
    <row r="24" ht="32" customHeight="1">
      <c r="A24" s="41" t="str">
        <v>Sección / entregable</v>
      </c>
      <c r="B24" s="41" t="str">
        <v>Puntos</v>
      </c>
      <c r="C24" s="41" t="str">
        <v>Criterio de Validación de Trazabilidad Arquitectónica</v>
      </c>
      <c r="D24" s="41"/>
      <c r="E24" s="41" t="str">
        <v>Punteo</v>
      </c>
    </row>
    <row r="25" ht="32" customHeight="1">
      <c r="A25" s="63" t="str">
        <v>I. FUNCIONALIDADES Y NUEVA ARQUITECTURA</v>
      </c>
      <c r="B25" s="64" t="n">
        <f>SUM(B26,B30,B34)</f>
        <v>30</v>
      </c>
      <c r="C25" s="63"/>
      <c r="D25" s="63"/>
      <c r="E25" s="65" t="str">
        <f>IF(COUNT(E26,E30,E34)=0,"",SUM(E26,E30,E34))</f>
      </c>
    </row>
    <row r="26" ht="40" customHeight="1">
      <c r="A26" s="63" t="str">
        <v>Evaluación de crédito propio</v>
      </c>
      <c r="B26" s="64" t="n">
        <f>SUM(B27,B28,B29)</f>
        <v>10</v>
      </c>
      <c r="C26" s="66" t="str">
        <v>Evalúa el historial de compra y la elegibilidad antes de ofrecer crédito en el checkout.</v>
      </c>
      <c r="D26" s="66"/>
      <c r="E26" s="65" t="str">
        <f>IF(COUNT(E27,E28,E29)=0,"",SUM(E27,E28,E29))</f>
      </c>
    </row>
    <row r="27" ht="44" customHeight="1">
      <c r="A27" s="47" t="str">
        <v>   Consultar historial del cliente</v>
      </c>
      <c r="B27" s="48" t="n">
        <v>3</v>
      </c>
      <c r="C27" s="47" t="str">
        <v>Verificable en modelo de datos y código: consulta el historial proveniente del ERP, con compras, montos, puntualidad de pago, devoluciones e incidentes.</v>
      </c>
      <c r="D27" s="47"/>
      <c r="E27" s="51"/>
    </row>
    <row r="28" ht="44" customHeight="1">
      <c r="A28" s="47" t="str">
        <v>   Determinar elegibilidad para crédito</v>
      </c>
      <c r="B28" s="48" t="n">
        <v>4</v>
      </c>
      <c r="C28" s="47" t="str">
        <v>Verificable en CDU expandido, DDA y código: aplica criterios de Finanzas sustentados en el historial real y justifica la decisión.</v>
      </c>
      <c r="D28" s="47"/>
      <c r="E28" s="51"/>
    </row>
    <row r="29" ht="44" customHeight="1">
      <c r="A29" s="47" t="str">
        <v>   Ofrecer crédito en el checkout</v>
      </c>
      <c r="B29" s="48" t="n">
        <v>3</v>
      </c>
      <c r="C29" s="47" t="str">
        <v>Verificable en CDU y demostración: crédito propio visible solo para clientes elegibles, como alternativa al pago tradicional con PayKlik.</v>
      </c>
      <c r="D29" s="47"/>
      <c r="E29" s="51"/>
    </row>
    <row r="30" ht="40" customHeight="1">
      <c r="A30" s="63" t="str">
        <v>Coordinación de las rutas de pago</v>
      </c>
      <c r="B30" s="64" t="n">
        <f>SUM(B31,B32,B33)</f>
        <v>10</v>
      </c>
      <c r="C30" s="66" t="str">
        <v>Evalúa crédito propio y PayKlik con un resultado final consistente para la orden.</v>
      </c>
      <c r="D30" s="66"/>
      <c r="E30" s="65" t="str">
        <f>IF(COUNT(E31,E32,E33)=0,"",SUM(E31,E32,E33))</f>
      </c>
    </row>
    <row r="31" ht="44" customHeight="1">
      <c r="A31" s="47" t="str">
        <v>   Procesar compra con crédito propio</v>
      </c>
      <c r="B31" s="48" t="n">
        <v>4</v>
      </c>
      <c r="C31" s="47" t="str">
        <v>Verificable en CDU, persistencia y código: implementa la opción "Compra ahora, paga en 30 días" y vincula la solicitud con cliente y orden.</v>
      </c>
      <c r="D31" s="47"/>
      <c r="E31" s="51"/>
    </row>
    <row r="32" ht="44" customHeight="1">
      <c r="A32" s="47" t="str">
        <v>   Conservar pago tradicional con PayKlik</v>
      </c>
      <c r="B32" s="48" t="n">
        <v>3</v>
      </c>
      <c r="C32" s="47" t="str">
        <v>Verificable en código y demostración: la ruta PayKlik sigue funcionando al incorporar el crédito, conservando registro y resiliencia del pago.</v>
      </c>
      <c r="D32" s="47"/>
      <c r="E32" s="51"/>
    </row>
    <row r="33" ht="44" customHeight="1">
      <c r="A33" s="47" t="str">
        <v>   Confirmar o rechazar la orden</v>
      </c>
      <c r="B33" s="48" t="n">
        <v>3</v>
      </c>
      <c r="C33" s="47" t="str">
        <v>Verificable en CDU, modelo de datos y código: ambas rutas concluyen en un estado consistente y preservan el flujo de inventario, facturación y despacho.</v>
      </c>
      <c r="D33" s="47"/>
      <c r="E33" s="51"/>
    </row>
    <row r="34" ht="40" customHeight="1">
      <c r="A34" s="63" t="str">
        <v>Evolución arquitectónica y notificaciones</v>
      </c>
      <c r="B34" s="64" t="n">
        <f>SUM(B35,B36,B37)</f>
        <v>10</v>
      </c>
      <c r="C34" s="66" t="str">
        <v>Evalúa el nuevo estilo, su convivencia con el MVP y la comunicación del resultado.</v>
      </c>
      <c r="D34" s="66"/>
      <c r="E34" s="65" t="str">
        <f>IF(COUNT(E35,E36,E37)=0,"",SUM(E35,E36,E37))</f>
      </c>
    </row>
    <row r="35" ht="44" customHeight="1">
      <c r="A35" s="47" t="str">
        <v>   Integrar el nuevo estilo arquitectónico</v>
      </c>
      <c r="B35" s="48" t="n">
        <v>4</v>
      </c>
      <c r="C35" s="47" t="str">
        <v>Verificable en DDA, componentes y código: nuevo estilo para gestionar notificaciones, integrado con la evaluación de crédito y la arquitectura existente.</v>
      </c>
      <c r="D35" s="47"/>
      <c r="E35" s="51"/>
    </row>
    <row r="36" ht="44" customHeight="1">
      <c r="A36" s="47" t="str">
        <v>   Notificar el resultado al cliente</v>
      </c>
      <c r="B36" s="48" t="n">
        <v>3</v>
      </c>
      <c r="C36" s="47" t="str">
        <v>Verificable en despliegue y código: informa confirmación o rechazo en ambas rutas. Una falla de mensajería no impide concluir la orden.</v>
      </c>
      <c r="D36" s="47"/>
      <c r="E36" s="51"/>
    </row>
    <row r="37" ht="44" customHeight="1">
      <c r="A37" s="47" t="str">
        <v>   Mantener continuidad y rapidez del checkout</v>
      </c>
      <c r="B37" s="48" t="n">
        <v>3</v>
      </c>
      <c r="C37" s="47" t="str">
        <v>Verificable con EAC y métricas: decisión de crédito rápida y confiable, sin congelar el checkout ni impedir la operación de la ruta tradicional.</v>
      </c>
      <c r="D37" s="47"/>
      <c r="E37" s="51"/>
    </row>
    <row r="38" ht="16" customHeight="1">
      <c r="A38" s="3"/>
      <c r="B38" s="4"/>
      <c r="C38" s="3"/>
      <c r="D38" s="3"/>
      <c r="E38" s="5"/>
    </row>
    <row r="39" ht="32" customHeight="1">
      <c r="A39" s="63" t="str">
        <v>II. PRUEBAS DE SOFTWARE</v>
      </c>
      <c r="B39" s="64" t="n">
        <f>SUM(B40,B41,B42,B43,B44)</f>
        <v>20</v>
      </c>
      <c r="C39" s="63"/>
      <c r="D39" s="63"/>
      <c r="E39" s="65" t="str">
        <f>IF(COUNT(E40,E41,E42,E43,E44)=0,"",SUM(E40,E41,E42,E43,E44))</f>
      </c>
    </row>
    <row r="40" ht="48" customHeight="1">
      <c r="A40" s="47" t="str">
        <v>Pruebas unitarias</v>
      </c>
      <c r="B40" s="48" t="n">
        <v>4</v>
      </c>
      <c r="C40" s="47" t="str">
        <v>Mínimo 5 pruebas ejecutadas. Verifican unidades en aislamiento, con entradas y resultados esperados, incluyendo reglas de elegibilidad y decisión.</v>
      </c>
      <c r="D40" s="47"/>
      <c r="E40" s="51"/>
    </row>
    <row r="41" ht="48" customHeight="1">
      <c r="A41" s="47" t="str">
        <v>Pruebas de integración</v>
      </c>
      <c r="B41" s="48" t="n">
        <v>4</v>
      </c>
      <c r="C41" s="47" t="str">
        <v>Mínimo 5 pruebas ejecutadas. Verifican interfaces y flujos entre historial/ERP, evaluación de crédito, pagos, órdenes y notificaciones.</v>
      </c>
      <c r="D41" s="47"/>
      <c r="E41" s="51"/>
    </row>
    <row r="42" ht="48" customHeight="1">
      <c r="A42" s="47" t="str">
        <v>Pruebas End to End (E2E)</v>
      </c>
      <c r="B42" s="48" t="n">
        <v>4</v>
      </c>
      <c r="C42" s="47" t="str">
        <v>Mínimo 5 pruebas ejecutadas. Validan flujos completos de crédito y PayKlik, clientes elegibles/no elegibles y resultados de confirmación o rechazo.</v>
      </c>
      <c r="D42" s="47"/>
      <c r="E42" s="51"/>
    </row>
    <row r="43" ht="48" customHeight="1">
      <c r="A43" s="47" t="str">
        <v>Pruebas de carga</v>
      </c>
      <c r="B43" s="48" t="n">
        <v>4</v>
      </c>
      <c r="C43" s="47" t="str">
        <v>Mínimo 5 pruebas ejecutadas. Evidencian tiempos de respuesta, consumo de recursos y estabilidad con usuarios o solicitudes concurrentes, frente a los EAC.</v>
      </c>
      <c r="D43" s="47"/>
      <c r="E43" s="51"/>
    </row>
    <row r="44" ht="48" customHeight="1">
      <c r="A44" s="47" t="str">
        <v>Pruebas de estrés</v>
      </c>
      <c r="B44" s="48" t="n">
        <v>4</v>
      </c>
      <c r="C44" s="47" t="str">
        <v>Mínimo 5 pruebas ejecutadas. Superan la carga esperada y evidencian límites, puntos de falla, cuellos de botella y recuperación posterior.</v>
      </c>
      <c r="D44" s="47"/>
      <c r="E44" s="51"/>
    </row>
    <row r="45" ht="32" customHeight="1">
      <c r="A45" s="28" t="str">
        <v>Mínimo 25 pruebas: 5 de cada tipo. Cada caso debe ser identificable y su resultado comprobable en la evidencia de ejecución.</v>
      </c>
      <c r="B45" s="71"/>
      <c r="C45" s="28"/>
      <c r="D45" s="28"/>
      <c r="E45" s="72"/>
    </row>
    <row r="46" ht="16" customHeight="1">
      <c r="A46" s="3"/>
      <c r="B46" s="4"/>
      <c r="C46" s="3"/>
      <c r="D46" s="3"/>
      <c r="E46" s="5"/>
    </row>
    <row r="47" ht="32" customHeight="1">
      <c r="A47" s="63" t="str">
        <v>III. CI/CD, DOCKER Y DESPLIEGUE EN LA NUBE</v>
      </c>
      <c r="B47" s="64" t="n">
        <f>SUM(B48,B49,B50,B51,B52)</f>
        <v>15</v>
      </c>
      <c r="C47" s="63"/>
      <c r="D47" s="63"/>
      <c r="E47" s="65" t="str">
        <f>IF(COUNT(E48,E49,E50,E51,E52)=0,"",SUM(E48,E49,E50,E51,E52))</f>
      </c>
    </row>
    <row r="48" ht="44" customHeight="1">
      <c r="A48" s="47" t="str">
        <v>Pipeline Build</v>
      </c>
      <c r="B48" s="48" t="n">
        <v>3</v>
      </c>
      <c r="C48" s="47" t="str">
        <v>Verificable en GitLab o GitHub Actions: compila o construye la solución y genera los artefactos e imágenes que se utilizarán en el despliegue.</v>
      </c>
      <c r="D48" s="47"/>
      <c r="E48" s="51"/>
    </row>
    <row r="49" ht="44" customHeight="1">
      <c r="A49" s="47" t="str">
        <v>Pipeline Test y bloqueo del despliegue</v>
      </c>
      <c r="B49" s="48" t="n">
        <v>4</v>
      </c>
      <c r="C49" s="47" t="str">
        <v>Verificable en ejecuciones del pipeline: automatiza pruebas unitarias y de integración. Una ejecución fallida impide que se ejecute Deploy.</v>
      </c>
      <c r="D49" s="47"/>
      <c r="E49" s="51"/>
    </row>
    <row r="50" ht="44" customHeight="1">
      <c r="A50" s="47" t="str">
        <v>Pipeline Deploy y operación en la nube</v>
      </c>
      <c r="B50" s="48" t="n">
        <v>4</v>
      </c>
      <c r="C50" s="47" t="str">
        <v>Verificable en pipeline y entorno operativo: despliega automáticamente después de aprobar Test. La aplicación en la nube coincide con el diagrama de despliegue.</v>
      </c>
      <c r="D50" s="47"/>
      <c r="E50" s="51"/>
    </row>
    <row r="51" ht="44" customHeight="1">
      <c r="A51" s="47" t="str">
        <v>Docker en Backend</v>
      </c>
      <c r="B51" s="48" t="n">
        <v>2</v>
      </c>
      <c r="C51" s="47" t="str">
        <v>Verificable en Dockerfile, pipeline y ejecución: el Backend se construye y ejecuta en contenedor, con sus dependencias y configuración documentadas.</v>
      </c>
      <c r="D51" s="47"/>
      <c r="E51" s="51"/>
    </row>
    <row r="52" ht="44" customHeight="1">
      <c r="A52" s="47" t="str">
        <v>Docker en Frontend</v>
      </c>
      <c r="B52" s="48" t="n">
        <v>2</v>
      </c>
      <c r="C52" s="47" t="str">
        <v>Verificable en Dockerfile, pipeline y ejecución: el Frontend se construye y ejecuta en contenedor. Docker forma parte del proceso CI/CD.</v>
      </c>
      <c r="D52" s="47"/>
      <c r="E52" s="51"/>
    </row>
    <row r="53" ht="16" customHeight="1">
      <c r="A53" s="3"/>
      <c r="B53" s="4"/>
      <c r="C53" s="3"/>
      <c r="D53" s="3"/>
      <c r="E53" s="5"/>
    </row>
    <row r="54" ht="32" customHeight="1">
      <c r="A54" s="63" t="str">
        <v>IV. DOCUMENTACIÓN TÉCNICA</v>
      </c>
      <c r="B54" s="64" t="n">
        <f>SUM(B55,B56,B57,B58)</f>
        <v>10</v>
      </c>
      <c r="C54" s="63"/>
      <c r="D54" s="63"/>
      <c r="E54" s="65" t="str">
        <f>IF(COUNT(E55,E56,E57,E58)=0,"",SUM(E55,E56,E57,E58))</f>
      </c>
    </row>
    <row r="55" ht="48" customHeight="1">
      <c r="A55" s="47" t="str">
        <v>Actualización y coherencia de DDA y diagramas</v>
      </c>
      <c r="B55" s="48" t="n">
        <v>3</v>
      </c>
      <c r="C55" s="47" t="str">
        <v>Verificable en DDA/ADR: actualiza actores, drivers funcionales, EAC, restricciones, decisiones y trazabilidad. Contexto, bloques, componentes, datos y despliegue coinciden con el código.</v>
      </c>
      <c r="D55" s="47"/>
      <c r="E55" s="51"/>
    </row>
    <row r="56" ht="48" customHeight="1">
      <c r="A56" s="47" t="str">
        <v>Cambios justificados según feedback</v>
      </c>
      <c r="B56" s="48" t="n">
        <v>3</v>
      </c>
      <c r="C56" s="47" t="str">
        <v>Evidencia de correcciones de Fases 1 y 2 y de la justificación del nuevo estilo, sus alternativas, consecuencias y convivencia con la arquitectura previa.</v>
      </c>
      <c r="D56" s="47"/>
      <c r="E56" s="51"/>
    </row>
    <row r="57" ht="44" customHeight="1">
      <c r="A57" s="47" t="str">
        <v>Manual Técnico</v>
      </c>
      <c r="B57" s="48" t="n">
        <v>2</v>
      </c>
      <c r="C57" s="47" t="str">
        <v>Documento Markdown en el repositorio: arquitectura, configuración, instalación, Docker, ejecución de pruebas, pipelines y despliegue de la solución.</v>
      </c>
      <c r="D57" s="47"/>
      <c r="E57" s="51"/>
    </row>
    <row r="58" ht="44" customHeight="1">
      <c r="A58" s="47" t="str">
        <v>Manual de usuario</v>
      </c>
      <c r="B58" s="48" t="n">
        <v>2</v>
      </c>
      <c r="C58" s="47" t="str">
        <v>Documento Markdown en el repositorio: uso de la solución, checkout, opciones de pago según elegibilidad y consulta del resultado de la orden.</v>
      </c>
      <c r="D58" s="47"/>
      <c r="E58" s="51"/>
    </row>
    <row r="59" ht="16" customHeight="1">
      <c r="A59" s="3"/>
      <c r="B59" s="4"/>
      <c r="C59" s="3"/>
      <c r="D59" s="3"/>
      <c r="E59" s="5"/>
    </row>
    <row r="60" ht="32" customHeight="1">
      <c r="A60" s="63" t="str">
        <v>V. METODOLOGÍA Y CONTROL DE VERSIONES</v>
      </c>
      <c r="B60" s="64" t="n">
        <f>SUM(B61,B62,B63)</f>
        <v>5</v>
      </c>
      <c r="C60" s="63"/>
      <c r="D60" s="63"/>
      <c r="E60" s="65" t="str">
        <f>IF(COUNT(E61,E62,E63)=0,"",SUM(E61,E62,E63))</f>
      </c>
    </row>
    <row r="61" ht="44" customHeight="1">
      <c r="A61" s="47" t="str">
        <v>Estrategia de branching git-flow</v>
      </c>
      <c r="B61" s="48" t="n">
        <v>2</v>
      </c>
      <c r="C61" s="47" t="str">
        <v>Verificable en historial: main y develop, features creadas desde develop, integradas y eliminadas al concluir. El incremento pasa a main para publicar el release.</v>
      </c>
      <c r="D61" s="47"/>
      <c r="E61" s="51"/>
    </row>
    <row r="62" ht="44" customHeight="1">
      <c r="A62" s="47" t="str">
        <v>Mínimo 4 releases durante la Fase 3</v>
      </c>
      <c r="B62" s="48" t="n">
        <v>2</v>
      </c>
      <c r="C62" s="47" t="str">
        <v>Verificable en el repositorio: al menos cuatro releases de esta fase, asociados a incrementos reales e identificados con tags v1, v2, v3, etc.</v>
      </c>
      <c r="D62" s="47"/>
      <c r="E62" s="51"/>
    </row>
    <row r="63" ht="44" customHeight="1">
      <c r="A63" s="47" t="str">
        <v>Repositorio, acceso y entrega</v>
      </c>
      <c r="B63" s="48" t="n">
        <v>1</v>
      </c>
      <c r="C63" s="47" t="str">
        <v>Mismo repositorio de fases anteriores, código y documentación Markdown accesibles al auxiliar desde el inicio, y enlace entregado mediante UEDI.</v>
      </c>
      <c r="D63" s="47"/>
      <c r="E63" s="51"/>
    </row>
    <row r="64" ht="16" customHeight="1">
      <c r="A64" s="3"/>
      <c r="B64" s="4"/>
      <c r="C64" s="3"/>
      <c r="D64" s="3"/>
      <c r="E64" s="5"/>
    </row>
    <row r="65" ht="30" customHeight="1">
      <c r="A65" s="82" t="str">
        <v>TOTAL BASE DEL PROYECTO</v>
      </c>
      <c r="B65" s="83" t="n">
        <f>SUM(B25,B39,B47,B54,B60)</f>
        <v>80</v>
      </c>
      <c r="C65" s="82" t="str">
        <v>de 80 puntos</v>
      </c>
      <c r="D65" s="82"/>
      <c r="E65" s="84" t="str">
        <f>IF(COUNT(E27,E28,E29,E31,E32,E33,E35,E36,E37,E40,E41,E42,E43,E44,E48,E49,E50,E51,E52,E55,E56,E57,E58,E61,E62,E63)=26,SUM(E25,E39,E47,E54,E60),"")</f>
      </c>
    </row>
    <row r="66" ht="30" customHeight="1">
      <c r="A66" s="28" t="str">
        <v>Ingrese los punteos obtenidos en las celdas amarillas. El total base se calcula al completar los 26 criterios.</v>
      </c>
      <c r="B66" s="28"/>
      <c r="C66" s="28"/>
      <c r="D66" s="28"/>
      <c r="E66" s="72"/>
    </row>
    <row r="67" ht="16" customHeight="1">
      <c r="A67" s="3"/>
      <c r="B67" s="3"/>
      <c r="C67" s="3"/>
      <c r="D67" s="3"/>
      <c r="E67" s="5"/>
    </row>
    <row r="68" ht="28" customHeight="1">
      <c r="A68" s="23" t="str">
        <v>EVALUACIÓN INDIVIDUAL (20 PUNTOS POR INTEGRANTE)</v>
      </c>
      <c r="B68" s="24"/>
      <c r="C68" s="24"/>
      <c r="D68" s="24"/>
      <c r="E68" s="88"/>
    </row>
    <row r="69" ht="30" customHeight="1">
      <c r="A69" s="41" t="str">
        <v>Estudiante (nombre y carné)</v>
      </c>
      <c r="B69" s="41" t="str">
        <v>Categoría</v>
      </c>
      <c r="C69" s="41"/>
      <c r="D69" s="41" t="str">
        <v>Ponderación</v>
      </c>
      <c r="E69" s="93" t="str">
        <v>Punteo</v>
      </c>
    </row>
    <row r="70" ht="24" customHeight="1">
      <c r="A70" s="98"/>
      <c r="B70" s="101" t="str">
        <v>Presentación y sustentación técnica (comunicación)</v>
      </c>
      <c r="C70" s="101"/>
      <c r="D70" s="103" t="n">
        <v>10</v>
      </c>
      <c r="E70" s="51"/>
    </row>
    <row r="71" ht="24" customHeight="1">
      <c r="A71" s="99"/>
      <c r="B71" s="101" t="str">
        <v>Comunicación y defensa de la arquitectura</v>
      </c>
      <c r="C71" s="101"/>
      <c r="D71" s="103" t="n">
        <v>5</v>
      </c>
      <c r="E71" s="51"/>
    </row>
    <row r="72" ht="24" customHeight="1">
      <c r="A72" s="99"/>
      <c r="B72" s="101" t="str">
        <v>Asunción de funciones y responsabilidades</v>
      </c>
      <c r="C72" s="101"/>
      <c r="D72" s="103" t="n">
        <v>5</v>
      </c>
      <c r="E72" s="51"/>
    </row>
    <row r="73" ht="24" customHeight="1">
      <c r="A73" s="100"/>
      <c r="B73" s="108" t="str">
        <v>TOTAL</v>
      </c>
      <c r="C73" s="108"/>
      <c r="D73" s="110" t="n">
        <f>SUM(D70:D72)</f>
        <v>20</v>
      </c>
      <c r="E73" s="112" t="str">
        <f>IF(COUNT(E70:E72)=3,SUM(E70:E72),"")</f>
      </c>
    </row>
    <row r="74" ht="24" customHeight="1">
      <c r="A74" s="98"/>
      <c r="B74" s="101" t="str">
        <v>Presentación y sustentación técnica (comunicación)</v>
      </c>
      <c r="C74" s="101"/>
      <c r="D74" s="103" t="n">
        <v>10</v>
      </c>
      <c r="E74" s="51"/>
    </row>
    <row r="75" ht="24" customHeight="1">
      <c r="A75" s="99"/>
      <c r="B75" s="101" t="str">
        <v>Comunicación y defensa de la arquitectura</v>
      </c>
      <c r="C75" s="101"/>
      <c r="D75" s="103" t="n">
        <v>5</v>
      </c>
      <c r="E75" s="51"/>
    </row>
    <row r="76" ht="24" customHeight="1">
      <c r="A76" s="99"/>
      <c r="B76" s="101" t="str">
        <v>Asunción de funciones y responsabilidades</v>
      </c>
      <c r="C76" s="101"/>
      <c r="D76" s="103" t="n">
        <v>5</v>
      </c>
      <c r="E76" s="51"/>
    </row>
    <row r="77" ht="24" customHeight="1">
      <c r="A77" s="100"/>
      <c r="B77" s="108" t="str">
        <v>TOTAL</v>
      </c>
      <c r="C77" s="108"/>
      <c r="D77" s="110" t="n">
        <f>SUM(D74:D76)</f>
        <v>20</v>
      </c>
      <c r="E77" s="112" t="str">
        <f>IF(COUNT(E74:E76)=3,SUM(E74:E76),"")</f>
      </c>
    </row>
    <row r="78" ht="24" customHeight="1">
      <c r="A78" s="98"/>
      <c r="B78" s="101" t="str">
        <v>Presentación y sustentación técnica (comunicación)</v>
      </c>
      <c r="C78" s="101"/>
      <c r="D78" s="103" t="n">
        <v>10</v>
      </c>
      <c r="E78" s="51"/>
    </row>
    <row r="79" ht="24" customHeight="1">
      <c r="A79" s="99"/>
      <c r="B79" s="101" t="str">
        <v>Comunicación y defensa de la arquitectura</v>
      </c>
      <c r="C79" s="101"/>
      <c r="D79" s="103" t="n">
        <v>5</v>
      </c>
      <c r="E79" s="51"/>
    </row>
    <row r="80" ht="24" customHeight="1">
      <c r="A80" s="99"/>
      <c r="B80" s="101" t="str">
        <v>Asunción de funciones y responsabilidades</v>
      </c>
      <c r="C80" s="101"/>
      <c r="D80" s="103" t="n">
        <v>5</v>
      </c>
      <c r="E80" s="51"/>
    </row>
    <row r="81" ht="24" customHeight="1">
      <c r="A81" s="100"/>
      <c r="B81" s="108" t="str">
        <v>TOTAL</v>
      </c>
      <c r="C81" s="108"/>
      <c r="D81" s="110" t="n">
        <f>SUM(D78:D80)</f>
        <v>20</v>
      </c>
      <c r="E81" s="112" t="str">
        <f>IF(COUNT(E78:E80)=3,SUM(E78:E80),"")</f>
      </c>
    </row>
    <row r="82" ht="24" customHeight="1">
      <c r="A82" s="98"/>
      <c r="B82" s="101" t="str">
        <v>Presentación y sustentación técnica (comunicación)</v>
      </c>
      <c r="C82" s="101"/>
      <c r="D82" s="103" t="n">
        <v>10</v>
      </c>
      <c r="E82" s="51"/>
    </row>
    <row r="83" ht="24" customHeight="1">
      <c r="A83" s="99"/>
      <c r="B83" s="101" t="str">
        <v>Comunicación y defensa de la arquitectura</v>
      </c>
      <c r="C83" s="101"/>
      <c r="D83" s="103" t="n">
        <v>5</v>
      </c>
      <c r="E83" s="51"/>
    </row>
    <row r="84" ht="24" customHeight="1">
      <c r="A84" s="99"/>
      <c r="B84" s="101" t="str">
        <v>Asunción de funciones y responsabilidades</v>
      </c>
      <c r="C84" s="101"/>
      <c r="D84" s="103" t="n">
        <v>5</v>
      </c>
      <c r="E84" s="51"/>
    </row>
    <row r="85" ht="24" customHeight="1">
      <c r="A85" s="100"/>
      <c r="B85" s="108" t="str">
        <v>TOTAL</v>
      </c>
      <c r="C85" s="108"/>
      <c r="D85" s="110" t="n">
        <f>SUM(D82:D84)</f>
        <v>20</v>
      </c>
      <c r="E85" s="112" t="str">
        <f>IF(COUNT(E82:E84)=3,SUM(E82:E84),"")</f>
      </c>
    </row>
    <row r="86" ht="24" customHeight="1">
      <c r="A86" s="98"/>
      <c r="B86" s="101" t="str">
        <v>Presentación y sustentación técnica (comunicación)</v>
      </c>
      <c r="C86" s="101"/>
      <c r="D86" s="103" t="n">
        <v>10</v>
      </c>
      <c r="E86" s="51"/>
    </row>
    <row r="87" ht="24" customHeight="1">
      <c r="A87" s="99"/>
      <c r="B87" s="101" t="str">
        <v>Comunicación y defensa de la arquitectura</v>
      </c>
      <c r="C87" s="101"/>
      <c r="D87" s="103" t="n">
        <v>5</v>
      </c>
      <c r="E87" s="51"/>
    </row>
    <row r="88" ht="24" customHeight="1">
      <c r="A88" s="99"/>
      <c r="B88" s="101" t="str">
        <v>Asunción de funciones y responsabilidades</v>
      </c>
      <c r="C88" s="101"/>
      <c r="D88" s="103" t="n">
        <v>5</v>
      </c>
      <c r="E88" s="51"/>
    </row>
    <row r="89" ht="24" customHeight="1">
      <c r="A89" s="100"/>
      <c r="B89" s="108" t="str">
        <v>TOTAL</v>
      </c>
      <c r="C89" s="108"/>
      <c r="D89" s="110" t="n">
        <f>SUM(D86:D88)</f>
        <v>20</v>
      </c>
      <c r="E89" s="112" t="str">
        <f>IF(COUNT(E86:E88)=3,SUM(E86:E88),"")</f>
      </c>
    </row>
    <row r="90" ht="36" customHeight="1">
      <c r="A90" s="28" t="str">
        <v>Se verifica presencia y aporte de cada integrante, con commits sustanciales en formato #carnet: mensaje. Hacer merge de pull requests no cuenta como commit válido.</v>
      </c>
      <c r="B90" s="28"/>
      <c r="C90" s="28"/>
      <c r="D90" s="28"/>
      <c r="E90" s="72"/>
    </row>
    <row r="91" ht="16" customHeight="1">
      <c r="A91" s="3"/>
      <c r="B91" s="3"/>
      <c r="C91" s="3"/>
      <c r="D91" s="3"/>
      <c r="E91" s="5"/>
    </row>
    <row r="92" ht="28" customHeight="1">
      <c r="A92" s="23" t="str">
        <v>RESULTADO FINAL</v>
      </c>
      <c r="B92" s="24"/>
      <c r="C92" s="24"/>
      <c r="D92" s="24"/>
      <c r="E92" s="88"/>
    </row>
    <row r="93" ht="30" customHeight="1">
      <c r="A93" s="30" t="str">
        <v>Calificación base ajustada</v>
      </c>
      <c r="B93" s="103" t="str">
        <f>IF(ISNUMBER(E65),E65,"")</f>
      </c>
      <c r="C93" s="114" t="str">
        <v>de 80 puntos</v>
      </c>
      <c r="D93" s="114"/>
      <c r="E93" s="103"/>
    </row>
    <row r="94" ht="30" customHeight="1">
      <c r="A94" s="30" t="str">
        <v>Calificación individual del estudiante</v>
      </c>
      <c r="B94" s="51"/>
      <c r="C94" s="114" t="str">
        <v>Ingrese el total individual correspondiente (0 a 20 puntos)</v>
      </c>
      <c r="D94" s="114"/>
      <c r="E94" s="103"/>
    </row>
    <row r="95" ht="30" customHeight="1">
      <c r="A95" s="82" t="str">
        <v>CALIFICACIÓN FINAL</v>
      </c>
      <c r="B95" s="84" t="str">
        <f>IF(COUNT(B93:B94)=2,SUM(B93:B94),"")</f>
      </c>
      <c r="C95" s="82" t="str">
        <v>de 100 puntos</v>
      </c>
      <c r="D95" s="82"/>
      <c r="E95" s="84"/>
    </row>
    <row r="96" ht="30" customHeight="1">
      <c r="A96" s="33" t="str">
        <v>PONDERACIÓN EN EL CURSO</v>
      </c>
      <c r="B96" s="120" t="str">
        <f>IF(ISNUMBER(B95),B95*30/100,"")</f>
      </c>
      <c r="C96" s="121" t="str">
        <v>de 30 puntos</v>
      </c>
      <c r="D96" s="121"/>
      <c r="E96" s="120"/>
    </row>
    <row r="97" ht="16" customHeight="1">
      <c r="A97" s="3"/>
      <c r="B97" s="3"/>
      <c r="C97" s="3"/>
      <c r="D97" s="3"/>
      <c r="E97" s="3"/>
    </row>
    <row r="98" ht="28" customHeight="1">
      <c r="A98" s="23" t="str">
        <v>CONSIDERACIONES DE LA EVALUACIÓN</v>
      </c>
      <c r="B98" s="24"/>
      <c r="C98" s="24"/>
      <c r="D98" s="24"/>
      <c r="E98" s="25"/>
    </row>
    <row r="99" ht="28" customHeight="1">
      <c r="A99" s="28" t="str">
        <v>Las copias totales o parciales reciben 0 puntos y se reportan a la Escuela de Sistemas, según el enunciado.</v>
      </c>
      <c r="B99" s="28"/>
      <c r="C99" s="28"/>
      <c r="D99" s="28"/>
      <c r="E99" s="28"/>
    </row>
    <row r="100" ht="24" customHeight="1">
      <c r="A100" s="28" t="str">
        <v>La calificación obtenida puede cambiar si la ingeniera solicita una revisión.</v>
      </c>
      <c r="B100" s="28"/>
      <c r="C100" s="28"/>
      <c r="D100" s="28"/>
      <c r="E100" s="28"/>
    </row>
    <row r="101" ht="16" customHeight="1">
      <c r="A101" s="3"/>
      <c r="B101" s="3"/>
      <c r="C101" s="3"/>
      <c r="D101" s="3"/>
      <c r="E101" s="3"/>
    </row>
    <row r="102" ht="28" customHeight="1">
      <c r="A102" s="23" t="str">
        <v>OBSERVACIONES</v>
      </c>
      <c r="B102" s="24"/>
      <c r="C102" s="24"/>
      <c r="D102" s="24"/>
      <c r="E102" s="25"/>
    </row>
    <row r="103" ht="24" customHeight="1">
      <c r="A103" s="122"/>
      <c r="B103" s="123"/>
      <c r="C103" s="123"/>
      <c r="D103" s="123"/>
      <c r="E103" s="124"/>
    </row>
    <row r="104" ht="24" customHeight="1">
      <c r="A104" s="125"/>
      <c r="B104" s="126"/>
      <c r="C104" s="126"/>
      <c r="D104" s="126"/>
      <c r="E104" s="127"/>
    </row>
  </sheetData>
  <mergeCells>
    <mergeCell ref="A1:E1"/>
    <mergeCell ref="A2:E2"/>
    <mergeCell ref="A3:E3"/>
    <mergeCell ref="A4:E4"/>
    <mergeCell ref="A5:E5"/>
    <mergeCell ref="A7:E7"/>
    <mergeCell ref="A8:E8"/>
    <mergeCell ref="A9:E9"/>
    <mergeCell ref="B10:E10"/>
    <mergeCell ref="B11:E11"/>
    <mergeCell ref="B12:E12"/>
    <mergeCell ref="B13:E13"/>
    <mergeCell ref="A15:E15"/>
    <mergeCell ref="C16:E16"/>
    <mergeCell ref="C17:E17"/>
    <mergeCell ref="C18:E18"/>
    <mergeCell ref="C19:E19"/>
    <mergeCell ref="C20:E20"/>
    <mergeCell ref="C21:E21"/>
    <mergeCell ref="A22:E22"/>
    <mergeCell ref="A23:E23"/>
    <mergeCell ref="C24:D24"/>
    <mergeCell ref="C27:D27"/>
    <mergeCell ref="C28:D28"/>
    <mergeCell ref="C29:D29"/>
    <mergeCell ref="C31:D31"/>
    <mergeCell ref="C32:D32"/>
    <mergeCell ref="C33:D33"/>
    <mergeCell ref="C35:D35"/>
    <mergeCell ref="C36:D36"/>
    <mergeCell ref="C37:D37"/>
    <mergeCell ref="C26:D26"/>
    <mergeCell ref="C30:D30"/>
    <mergeCell ref="C34:D34"/>
    <mergeCell ref="C25:D25"/>
    <mergeCell ref="C40:D40"/>
    <mergeCell ref="C41:D41"/>
    <mergeCell ref="C42:D42"/>
    <mergeCell ref="C43:D43"/>
    <mergeCell ref="C44:D44"/>
    <mergeCell ref="C39:D39"/>
    <mergeCell ref="A45:E45"/>
    <mergeCell ref="C48:D48"/>
    <mergeCell ref="C49:D49"/>
    <mergeCell ref="C50:D50"/>
    <mergeCell ref="C51:D51"/>
    <mergeCell ref="C52:D52"/>
    <mergeCell ref="C47:D47"/>
    <mergeCell ref="C55:D55"/>
    <mergeCell ref="C56:D56"/>
    <mergeCell ref="C57:D57"/>
    <mergeCell ref="C58:D58"/>
    <mergeCell ref="C54:D54"/>
    <mergeCell ref="C61:D61"/>
    <mergeCell ref="C62:D62"/>
    <mergeCell ref="C63:D63"/>
    <mergeCell ref="C60:D60"/>
    <mergeCell ref="C65:D65"/>
    <mergeCell ref="A66:E66"/>
    <mergeCell ref="A68:E68"/>
    <mergeCell ref="B69:C69"/>
    <mergeCell ref="A70:A73"/>
    <mergeCell ref="B70:C70"/>
    <mergeCell ref="B71:C71"/>
    <mergeCell ref="B72:C72"/>
    <mergeCell ref="B73:C73"/>
    <mergeCell ref="A74:A77"/>
    <mergeCell ref="B74:C74"/>
    <mergeCell ref="B75:C75"/>
    <mergeCell ref="B76:C76"/>
    <mergeCell ref="B77:C77"/>
    <mergeCell ref="A78:A81"/>
    <mergeCell ref="B78:C78"/>
    <mergeCell ref="B79:C79"/>
    <mergeCell ref="B80:C80"/>
    <mergeCell ref="B81:C81"/>
    <mergeCell ref="A82:A85"/>
    <mergeCell ref="B82:C82"/>
    <mergeCell ref="B83:C83"/>
    <mergeCell ref="B84:C84"/>
    <mergeCell ref="B85:C85"/>
    <mergeCell ref="A86:A89"/>
    <mergeCell ref="B86:C86"/>
    <mergeCell ref="B87:C87"/>
    <mergeCell ref="B88:C88"/>
    <mergeCell ref="B89:C89"/>
    <mergeCell ref="A90:E90"/>
    <mergeCell ref="A92:E92"/>
    <mergeCell ref="C93:E93"/>
    <mergeCell ref="C94:E94"/>
    <mergeCell ref="C95:E95"/>
    <mergeCell ref="C96:E96"/>
    <mergeCell ref="A98:E98"/>
    <mergeCell ref="A99:E99"/>
    <mergeCell ref="A100:E100"/>
    <mergeCell ref="A102:E102"/>
    <mergeCell ref="A103:E104"/>
  </mergeCells>
  <dataValidations count="42">
    <dataValidation type="decimal" errorStyle="stop" operator="between" showErrorMessage="1" errorTitle="Punteo fuera de rango" error="Ingrese un punteo entre 0 y 3." sqref="E27" allowBlank="1">
      <formula1>0</formula1>
      <formula2>$B$27</formula2>
    </dataValidation>
    <dataValidation type="decimal" errorStyle="stop" operator="between" showErrorMessage="1" errorTitle="Punteo fuera de rango" error="Ingrese un punteo entre 0 y 4." sqref="E28" allowBlank="1">
      <formula1>0</formula1>
      <formula2>$B$28</formula2>
    </dataValidation>
    <dataValidation type="decimal" errorStyle="stop" operator="between" showErrorMessage="1" errorTitle="Punteo fuera de rango" error="Ingrese un punteo entre 0 y 3." sqref="E29" allowBlank="1">
      <formula1>0</formula1>
      <formula2>$B$29</formula2>
    </dataValidation>
    <dataValidation type="decimal" errorStyle="stop" operator="between" showErrorMessage="1" errorTitle="Punteo fuera de rango" error="Ingrese un punteo entre 0 y 4." sqref="E31" allowBlank="1">
      <formula1>0</formula1>
      <formula2>$B$31</formula2>
    </dataValidation>
    <dataValidation type="decimal" errorStyle="stop" operator="between" showErrorMessage="1" errorTitle="Punteo fuera de rango" error="Ingrese un punteo entre 0 y 3." sqref="E32" allowBlank="1">
      <formula1>0</formula1>
      <formula2>$B$32</formula2>
    </dataValidation>
    <dataValidation type="decimal" errorStyle="stop" operator="between" showErrorMessage="1" errorTitle="Punteo fuera de rango" error="Ingrese un punteo entre 0 y 3." sqref="E33" allowBlank="1">
      <formula1>0</formula1>
      <formula2>$B$33</formula2>
    </dataValidation>
    <dataValidation type="decimal" errorStyle="stop" operator="between" showErrorMessage="1" errorTitle="Punteo fuera de rango" error="Ingrese un punteo entre 0 y 4." sqref="E35" allowBlank="1">
      <formula1>0</formula1>
      <formula2>$B$35</formula2>
    </dataValidation>
    <dataValidation type="decimal" errorStyle="stop" operator="between" showErrorMessage="1" errorTitle="Punteo fuera de rango" error="Ingrese un punteo entre 0 y 3." sqref="E36" allowBlank="1">
      <formula1>0</formula1>
      <formula2>$B$36</formula2>
    </dataValidation>
    <dataValidation type="decimal" errorStyle="stop" operator="between" showErrorMessage="1" errorTitle="Punteo fuera de rango" error="Ingrese un punteo entre 0 y 3." sqref="E37" allowBlank="1">
      <formula1>0</formula1>
      <formula2>$B$37</formula2>
    </dataValidation>
    <dataValidation type="decimal" errorStyle="stop" operator="between" showErrorMessage="1" errorTitle="Punteo fuera de rango" error="Ingrese un punteo entre 0 y 4." sqref="E40" allowBlank="1">
      <formula1>0</formula1>
      <formula2>$B$40</formula2>
    </dataValidation>
    <dataValidation type="decimal" errorStyle="stop" operator="between" showErrorMessage="1" errorTitle="Punteo fuera de rango" error="Ingrese un punteo entre 0 y 4." sqref="E41" allowBlank="1">
      <formula1>0</formula1>
      <formula2>$B$41</formula2>
    </dataValidation>
    <dataValidation type="decimal" errorStyle="stop" operator="between" showErrorMessage="1" errorTitle="Punteo fuera de rango" error="Ingrese un punteo entre 0 y 4." sqref="E42" allowBlank="1">
      <formula1>0</formula1>
      <formula2>$B$42</formula2>
    </dataValidation>
    <dataValidation type="decimal" errorStyle="stop" operator="between" showErrorMessage="1" errorTitle="Punteo fuera de rango" error="Ingrese un punteo entre 0 y 4." sqref="E43" allowBlank="1">
      <formula1>0</formula1>
      <formula2>$B$43</formula2>
    </dataValidation>
    <dataValidation type="decimal" errorStyle="stop" operator="between" showErrorMessage="1" errorTitle="Punteo fuera de rango" error="Ingrese un punteo entre 0 y 4." sqref="E44" allowBlank="1">
      <formula1>0</formula1>
      <formula2>$B$44</formula2>
    </dataValidation>
    <dataValidation type="decimal" errorStyle="stop" operator="between" showErrorMessage="1" errorTitle="Punteo fuera de rango" error="Ingrese un punteo entre 0 y 3." sqref="E48" allowBlank="1">
      <formula1>0</formula1>
      <formula2>$B$48</formula2>
    </dataValidation>
    <dataValidation type="decimal" errorStyle="stop" operator="between" showErrorMessage="1" errorTitle="Punteo fuera de rango" error="Ingrese un punteo entre 0 y 4." sqref="E49" allowBlank="1">
      <formula1>0</formula1>
      <formula2>$B$49</formula2>
    </dataValidation>
    <dataValidation type="decimal" errorStyle="stop" operator="between" showErrorMessage="1" errorTitle="Punteo fuera de rango" error="Ingrese un punteo entre 0 y 4." sqref="E50" allowBlank="1">
      <formula1>0</formula1>
      <formula2>$B$50</formula2>
    </dataValidation>
    <dataValidation type="decimal" errorStyle="stop" operator="between" showErrorMessage="1" errorTitle="Punteo fuera de rango" error="Ingrese un punteo entre 0 y 2." sqref="E51" allowBlank="1">
      <formula1>0</formula1>
      <formula2>$B$51</formula2>
    </dataValidation>
    <dataValidation type="decimal" errorStyle="stop" operator="between" showErrorMessage="1" errorTitle="Punteo fuera de rango" error="Ingrese un punteo entre 0 y 2." sqref="E52" allowBlank="1">
      <formula1>0</formula1>
      <formula2>$B$52</formula2>
    </dataValidation>
    <dataValidation type="decimal" errorStyle="stop" operator="between" showErrorMessage="1" errorTitle="Punteo fuera de rango" error="Ingrese un punteo entre 0 y 3." sqref="E55" allowBlank="1">
      <formula1>0</formula1>
      <formula2>$B$55</formula2>
    </dataValidation>
    <dataValidation type="decimal" errorStyle="stop" operator="between" showErrorMessage="1" errorTitle="Punteo fuera de rango" error="Ingrese un punteo entre 0 y 3." sqref="E56" allowBlank="1">
      <formula1>0</formula1>
      <formula2>$B$56</formula2>
    </dataValidation>
    <dataValidation type="decimal" errorStyle="stop" operator="between" showErrorMessage="1" errorTitle="Punteo fuera de rango" error="Ingrese un punteo entre 0 y 2." sqref="E57" allowBlank="1">
      <formula1>0</formula1>
      <formula2>$B$57</formula2>
    </dataValidation>
    <dataValidation type="decimal" errorStyle="stop" operator="between" showErrorMessage="1" errorTitle="Punteo fuera de rango" error="Ingrese un punteo entre 0 y 2." sqref="E58" allowBlank="1">
      <formula1>0</formula1>
      <formula2>$B$58</formula2>
    </dataValidation>
    <dataValidation type="decimal" errorStyle="stop" operator="between" showErrorMessage="1" errorTitle="Punteo fuera de rango" error="Ingrese un punteo entre 0 y 2." sqref="E61" allowBlank="1">
      <formula1>0</formula1>
      <formula2>$B$61</formula2>
    </dataValidation>
    <dataValidation type="decimal" errorStyle="stop" operator="between" showErrorMessage="1" errorTitle="Punteo fuera de rango" error="Ingrese un punteo entre 0 y 2." sqref="E62" allowBlank="1">
      <formula1>0</formula1>
      <formula2>$B$62</formula2>
    </dataValidation>
    <dataValidation type="decimal" errorStyle="stop" operator="between" showErrorMessage="1" errorTitle="Punteo fuera de rango" error="Ingrese un punteo entre 0 y 1." sqref="E63" allowBlank="1">
      <formula1>0</formula1>
      <formula2>$B$63</formula2>
    </dataValidation>
    <dataValidation type="decimal" errorStyle="stop" operator="between" showErrorMessage="1" errorTitle="Punteo fuera de rango" error="Ingrese un punteo entre 0 y 10." sqref="E70" allowBlank="1">
      <formula1>0</formula1>
      <formula2>$D$70</formula2>
    </dataValidation>
    <dataValidation type="decimal" errorStyle="stop" operator="between" showErrorMessage="1" errorTitle="Punteo fuera de rango" error="Ingrese un punteo entre 0 y 5." sqref="E71" allowBlank="1">
      <formula1>0</formula1>
      <formula2>$D$71</formula2>
    </dataValidation>
    <dataValidation type="decimal" errorStyle="stop" operator="between" showErrorMessage="1" errorTitle="Punteo fuera de rango" error="Ingrese un punteo entre 0 y 5." sqref="E72" allowBlank="1">
      <formula1>0</formula1>
      <formula2>$D$72</formula2>
    </dataValidation>
    <dataValidation type="decimal" errorStyle="stop" operator="between" showErrorMessage="1" errorTitle="Punteo fuera de rango" error="Ingrese un punteo entre 0 y 10." sqref="E74" allowBlank="1">
      <formula1>0</formula1>
      <formula2>$D$74</formula2>
    </dataValidation>
    <dataValidation type="decimal" errorStyle="stop" operator="between" showErrorMessage="1" errorTitle="Punteo fuera de rango" error="Ingrese un punteo entre 0 y 5." sqref="E75" allowBlank="1">
      <formula1>0</formula1>
      <formula2>$D$75</formula2>
    </dataValidation>
    <dataValidation type="decimal" errorStyle="stop" operator="between" showErrorMessage="1" errorTitle="Punteo fuera de rango" error="Ingrese un punteo entre 0 y 5." sqref="E76" allowBlank="1">
      <formula1>0</formula1>
      <formula2>$D$76</formula2>
    </dataValidation>
    <dataValidation type="decimal" errorStyle="stop" operator="between" showErrorMessage="1" errorTitle="Punteo fuera de rango" error="Ingrese un punteo entre 0 y 10." sqref="E78" allowBlank="1">
      <formula1>0</formula1>
      <formula2>$D$78</formula2>
    </dataValidation>
    <dataValidation type="decimal" errorStyle="stop" operator="between" showErrorMessage="1" errorTitle="Punteo fuera de rango" error="Ingrese un punteo entre 0 y 5." sqref="E79" allowBlank="1">
      <formula1>0</formula1>
      <formula2>$D$79</formula2>
    </dataValidation>
    <dataValidation type="decimal" errorStyle="stop" operator="between" showErrorMessage="1" errorTitle="Punteo fuera de rango" error="Ingrese un punteo entre 0 y 5." sqref="E80" allowBlank="1">
      <formula1>0</formula1>
      <formula2>$D$80</formula2>
    </dataValidation>
    <dataValidation type="decimal" errorStyle="stop" operator="between" showErrorMessage="1" errorTitle="Punteo fuera de rango" error="Ingrese un punteo entre 0 y 10." sqref="E82" allowBlank="1">
      <formula1>0</formula1>
      <formula2>$D$82</formula2>
    </dataValidation>
    <dataValidation type="decimal" errorStyle="stop" operator="between" showErrorMessage="1" errorTitle="Punteo fuera de rango" error="Ingrese un punteo entre 0 y 5." sqref="E83" allowBlank="1">
      <formula1>0</formula1>
      <formula2>$D$83</formula2>
    </dataValidation>
    <dataValidation type="decimal" errorStyle="stop" operator="between" showErrorMessage="1" errorTitle="Punteo fuera de rango" error="Ingrese un punteo entre 0 y 5." sqref="E84" allowBlank="1">
      <formula1>0</formula1>
      <formula2>$D$84</formula2>
    </dataValidation>
    <dataValidation type="decimal" errorStyle="stop" operator="between" showErrorMessage="1" errorTitle="Punteo fuera de rango" error="Ingrese un punteo entre 0 y 10." sqref="E86" allowBlank="1">
      <formula1>0</formula1>
      <formula2>$D$86</formula2>
    </dataValidation>
    <dataValidation type="decimal" errorStyle="stop" operator="between" showErrorMessage="1" errorTitle="Punteo fuera de rango" error="Ingrese un punteo entre 0 y 5." sqref="E87" allowBlank="1">
      <formula1>0</formula1>
      <formula2>$D$87</formula2>
    </dataValidation>
    <dataValidation type="decimal" errorStyle="stop" operator="between" showErrorMessage="1" errorTitle="Punteo fuera de rango" error="Ingrese un punteo entre 0 y 5." sqref="E88" allowBlank="1">
      <formula1>0</formula1>
      <formula2>$D$88</formula2>
    </dataValidation>
    <dataValidation type="decimal" errorStyle="stop" operator="between" showErrorMessage="1" errorTitle="Punteo fuera de rango" error="Ingrese el total individual entre 0 y 20." sqref="B94" allowBlank="1">
      <formula1>0</formula1>
      <formula2>20</formula2>
    </dataValidation>
  </dataValidations>
  <printOptions horizontalCentered="1"/>
  <pageMargins left="0.25" right="0.25" top="0.3" bottom="0.3" header="0.15" footer="0.15"/>
  <pageSetup paperSize="9" orientation="landscape" fitToWidth="1" fitToHeight="0"/>
  <rowBreaks count="5" manualBreakCount="5">
    <brk id="24" max="16383" man="1"/>
    <brk id="38" max="16383" man="1"/>
    <brk id="53" max="16383" man="1"/>
    <brk id="67" max="16383" man="1"/>
    <brk id="91" max="16383" man="1"/>
  </rowBreaks>
</worksheet>
</file>